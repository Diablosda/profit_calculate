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各平台费用明细" sheetId="1" r:id="rId1"/>
  </sheets>
  <definedNames>
    <definedName name="_xlnm._FilterDatabase" localSheetId="0" hidden="1">各平台费用明细!$A$1:$U$2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<sst xmlns="http://schemas.openxmlformats.org/spreadsheetml/2006/main" count="22" uniqueCount="22">
  <si>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店铺</t>
  </si>
  <si>
    <t>上海发货总利润额
（自发货利润-客服补发）</t>
  </si>
  <si>
    <t>FBA毛利润总额</t>
  </si>
  <si>
    <t>仓储费</t>
  </si>
  <si>
    <t>长期仓储费</t>
  </si>
  <si>
    <t>订单退款处理费</t>
  </si>
  <si>
    <t>站内广告费</t>
  </si>
  <si>
    <t>站外广告费(DSP)</t>
  </si>
  <si>
    <t>销毁产品+处理费</t>
  </si>
  <si>
    <t>平台索赔费用（AMZ）</t>
  </si>
  <si>
    <t>退货处理费</t>
  </si>
  <si>
    <t>其他费用</t>
  </si>
  <si>
    <t>资金占用金额</t>
  </si>
  <si>
    <t>资金占用成本</t>
  </si>
  <si>
    <t>海外仓转运费</t>
  </si>
  <si>
    <t>海外仓仓储费</t>
  </si>
  <si>
    <t>供应商索赔费用</t>
  </si>
  <si>
    <t>总利润额</t>
  </si>
  <si>
    <t>FBA销售额（$）</t>
  </si>
  <si>
    <t>本地销售额（$）</t>
  </si>
  <si>
    <t>销售额总和（$）</t>
  </si>
  <si>
    <t>VS-AU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</si>
</sst>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name val="Calibri"/>
      <charset val="0"/>
    </font>
    <font>
      <sz val="11"/>
      <color rgb="FFFF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7" fontId="3" fillId="3" borderId="1" xfId="0" applyNumberFormat="1" applyFont="1" applyFill="1" applyBorder="1" applyAlignment="1">
      <alignment horizontal="center" vertical="center" wrapText="1"/>
    </xf>
    <xf numFmtId="7" fontId="3" fillId="3" borderId="1" xfId="0" applyNumberFormat="1" applyFont="1" applyFill="1" applyBorder="1" applyAlignment="1">
      <alignment horizontal="center" vertical="center"/>
    </xf>
    <xf numFmtId="7" fontId="2" fillId="0" borderId="1" xfId="0" applyNumberFormat="1" applyFont="1" applyFill="1" applyBorder="1" applyAlignment="1">
      <alignment horizontal="center" vertical="center"/>
    </xf>
    <xf numFmtId="7" fontId="3" fillId="4" borderId="1" xfId="0" applyNumberFormat="1" applyFont="1" applyFill="1" applyBorder="1" applyAlignment="1">
      <alignment horizontal="center" vertical="center"/>
    </xf>
    <xf numFmtId="7" fontId="3" fillId="5" borderId="1" xfId="0" applyNumberFormat="1" applyFont="1" applyFill="1" applyBorder="1" applyAlignment="1">
      <alignment horizontal="center" vertical="center"/>
    </xf>
    <xf numFmtId="7" fontId="3" fillId="6" borderId="1" xfId="0" applyNumberFormat="1" applyFont="1" applyFill="1" applyBorder="1" applyAlignment="1">
      <alignment horizontal="center" vertical="center"/>
    </xf>
    <xf numFmtId="7" fontId="3" fillId="6" borderId="1" xfId="0" applyNumberFormat="1" applyFont="1" applyFill="1" applyBorder="1" applyAlignment="1">
      <alignment horizontal="center" vertical="center" wrapText="1"/>
    </xf>
    <xf numFmtId="7" fontId="3" fillId="4" borderId="1" xfId="0" applyNumberFormat="1" applyFont="1" applyFill="1" applyBorder="1" applyAlignment="1">
      <alignment horizontal="center" vertical="center" wrapText="1"/>
    </xf>
    <xf numFmtId="7" fontId="3" fillId="7" borderId="1" xfId="0" applyNumberFormat="1" applyFont="1" applyFill="1" applyBorder="1" applyAlignment="1">
      <alignment horizontal="center" vertical="center"/>
    </xf>
    <xf numFmtId="7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7" fontId="4" fillId="0" borderId="1" xfId="0" applyNumberFormat="1" applyFont="1" applyFill="1" applyBorder="1" applyAlignment="1">
      <alignment horizontal="center" vertical="center"/>
    </xf>
    <xf numFmtId="7" fontId="5" fillId="0" borderId="1" xfId="0" applyNumberFormat="1" applyFont="1" applyFill="1" applyBorder="1" applyAlignment="1">
      <alignment horizontal="center" vertical="center"/>
    </xf>
    <xf numFmtId="7" fontId="6" fillId="0" borderId="1" xfId="0" applyNumberFormat="1" applyFont="1" applyFill="1" applyBorder="1" applyAlignment="1">
      <alignment horizontal="center" vertical="center"/>
    </xf>
    <xf numFmtId="26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000"/>
      <color rgb="00000000"/>
      <color rgb="00FFFF00"/>
      <color rgb="00FF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"/>
  <sheetViews>
    <sheetView tabSelected="1"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I19" sqref="I19"/>
    </sheetView>
  </sheetViews>
  <sheetFormatPr defaultColWidth="8.89166666666667" defaultRowHeight="13.5" outlineLevelRow="1"/>
  <cols>
    <col min="1" max="1" width="28.875" style="3" customWidth="1"/>
    <col min="2" max="2" width="23.75" style="3" customWidth="1"/>
    <col min="3" max="3" width="15.25" style="2" customWidth="1"/>
    <col min="4" max="4" width="7.375" customWidth="1"/>
    <col min="5" max="5" width="11.5" customWidth="1"/>
    <col min="6" max="6" width="16" customWidth="1"/>
    <col min="7" max="7" width="11.5" customWidth="1"/>
    <col min="8" max="8" width="17.75" customWidth="1"/>
    <col min="9" max="9" width="17.25" customWidth="1"/>
    <col min="10" max="10" width="22" customWidth="1"/>
    <col min="11" max="11" width="11.5" customWidth="1"/>
    <col min="12" max="12" width="11.125" style="3" customWidth="1"/>
    <col min="13" max="16" width="13.75" customWidth="1"/>
    <col min="17" max="17" width="18.625" style="4" customWidth="1"/>
    <col min="18" max="18" width="12.125" customWidth="1"/>
    <col min="19" max="19" width="16.5" customWidth="1"/>
    <col min="20" max="21" width="17.25" style="5" customWidth="1"/>
    <col min="22" max="22" width="11.5"/>
    <col min="23" max="23" width="13.75"/>
    <col min="24" max="24" width="15.875" customWidth="1"/>
  </cols>
  <sheetData>
    <row r="1" s="1" customFormat="1" ht="33" customHeight="1" spans="1:2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8" t="s">
        <v>5</v>
      </c>
      <c r="G1" s="11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12" t="s">
        <v>11</v>
      </c>
      <c r="M1" s="10" t="s">
        <v>12</v>
      </c>
      <c r="N1" s="10" t="s">
        <v>13</v>
      </c>
      <c r="O1" s="10" t="s">
        <v>14</v>
      </c>
      <c r="P1" s="13" t="s">
        <v>15</v>
      </c>
      <c r="Q1" s="14" t="s">
        <v>16</v>
      </c>
      <c r="R1" s="15" t="s">
        <v>17</v>
      </c>
      <c r="S1" s="16" t="s">
        <v>18</v>
      </c>
      <c r="T1" s="17" t="s">
        <v>19</v>
      </c>
      <c r="U1" s="18" t="s">
        <v>20</v>
      </c>
    </row>
    <row r="2" s="2" customFormat="1" ht="15" spans="1:21">
      <c r="A2" s="19" t="s">
        <v>21</v>
      </c>
      <c r="B2" s="20">
        <v>1919.54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  <c r="R2" s="21">
        <f>B2+C2-D2-E2-F2-G2-H2-I2+J2-K2-L2-O2-P2+Q2</f>
        <v>1919.54</v>
      </c>
      <c r="S2" s="23">
        <f>1126.77*0.706</f>
        <v>795.49962</v>
      </c>
      <c r="T2" s="24">
        <v>0</v>
      </c>
      <c r="U2" s="24">
        <f>S2+T2</f>
        <v>795.49962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各平台费用明细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fromf</dc:creator>
  <cp:lastModifiedBy>from far</cp:lastModifiedBy>
  <dcterms:created xsi:type="dcterms:W3CDTF">2022-05-27T06:32:00Z</dcterms:created>
  <dcterms:modified xsi:type="dcterms:W3CDTF">2026-06-01T02:44:37Z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CF072FB57CE04F8C8A55A17B899CEC67_13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